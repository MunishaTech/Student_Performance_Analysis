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46b73462148797/Documents/"/>
    </mc:Choice>
  </mc:AlternateContent>
  <xr:revisionPtr revIDLastSave="578" documentId="8_{108826B7-842E-4273-982E-3D7324C47BCA}" xr6:coauthVersionLast="47" xr6:coauthVersionMax="47" xr10:uidLastSave="{32FF4933-ACDA-458B-A51F-E3A964D76E96}"/>
  <bookViews>
    <workbookView xWindow="-108" yWindow="-108" windowWidth="23256" windowHeight="12456" xr2:uid="{DC0FB6E3-CF59-4963-9E43-DE519ABF9991}"/>
  </bookViews>
  <sheets>
    <sheet name="Sheet22" sheetId="22" r:id="rId1"/>
    <sheet name=" Data" sheetId="2" r:id="rId2"/>
    <sheet name=" Project_Overview" sheetId="28" r:id="rId3"/>
    <sheet name=" Raw_Data" sheetId="30" r:id="rId4"/>
  </sheets>
  <definedNames>
    <definedName name="_xlnm._FilterDatabase" localSheetId="1" hidden="1">' Data'!$A$1:$F$21</definedName>
    <definedName name="_xlcn.WorksheetConnection_DataA1I211" hidden="1">' Data'!$A$1:$I$21</definedName>
  </definedNames>
  <calcPr calcId="191029"/>
  <pivotCaches>
    <pivotCache cacheId="25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 Data!$A$1:$I$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L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J2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G20" i="2"/>
  <c r="G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11D44-0F78-40A5-95D8-12D4AC96EFA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DD6B96-B305-431C-9A3C-471991C04F8B}" name="WorksheetConnection_ Data!$A$1:$I$2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I211"/>
        </x15:connection>
      </ext>
    </extLst>
  </connection>
</connections>
</file>

<file path=xl/sharedStrings.xml><?xml version="1.0" encoding="utf-8"?>
<sst xmlns="http://schemas.openxmlformats.org/spreadsheetml/2006/main" count="222" uniqueCount="95">
  <si>
    <t>Name</t>
  </si>
  <si>
    <t>Munisha</t>
  </si>
  <si>
    <t>Sony</t>
  </si>
  <si>
    <t>Sweety</t>
  </si>
  <si>
    <t>Chandu</t>
  </si>
  <si>
    <t>Surya</t>
  </si>
  <si>
    <t>Marks</t>
  </si>
  <si>
    <t>Grade</t>
  </si>
  <si>
    <t>Latha</t>
  </si>
  <si>
    <t>Sirisha</t>
  </si>
  <si>
    <t>Student_ID</t>
  </si>
  <si>
    <t>Subject</t>
  </si>
  <si>
    <t>Attendance</t>
  </si>
  <si>
    <t>City</t>
  </si>
  <si>
    <t>English</t>
  </si>
  <si>
    <t>Hyderabad</t>
  </si>
  <si>
    <t>Telugu</t>
  </si>
  <si>
    <t>Vizag</t>
  </si>
  <si>
    <t>Harisha</t>
  </si>
  <si>
    <t>Maths</t>
  </si>
  <si>
    <t>Warangal</t>
  </si>
  <si>
    <t>Monisha</t>
  </si>
  <si>
    <t>Hindi</t>
  </si>
  <si>
    <t>Vijayawada</t>
  </si>
  <si>
    <t>Anisha</t>
  </si>
  <si>
    <t>Yogisha</t>
  </si>
  <si>
    <t>Ravi</t>
  </si>
  <si>
    <t>Kiran</t>
  </si>
  <si>
    <t>Pooja</t>
  </si>
  <si>
    <t>Rohit</t>
  </si>
  <si>
    <t>Neha</t>
  </si>
  <si>
    <t>Arjun</t>
  </si>
  <si>
    <t>Kavya</t>
  </si>
  <si>
    <t>Varun</t>
  </si>
  <si>
    <t>Sita</t>
  </si>
  <si>
    <t>Row Labels</t>
  </si>
  <si>
    <t>Pass/Fail</t>
  </si>
  <si>
    <t>Attendance Status</t>
  </si>
  <si>
    <t>Performance Style</t>
  </si>
  <si>
    <t>Sum of Marks</t>
  </si>
  <si>
    <t>Average of Marks</t>
  </si>
  <si>
    <t>Overall_Average</t>
  </si>
  <si>
    <t>Attendance _Category</t>
  </si>
  <si>
    <t>Top Score Flag</t>
  </si>
  <si>
    <t>Risk Flag</t>
  </si>
  <si>
    <t>Rank by City</t>
  </si>
  <si>
    <t>Student Performance Analysis — Excel Project</t>
  </si>
  <si>
    <t>Project Overview</t>
  </si>
  <si>
    <t>This project analyzes student performance data across multiple cities and subjects using Microsoft Excel.</t>
  </si>
  <si>
    <t>The objective is to clean the data, perform analysis, and generate business-style insights using formulas, pivot tables, and data visualization techniques.</t>
  </si>
  <si>
    <t>Dataset Description</t>
  </si>
  <si>
    <t>The dataset contains student academic records with the following fields:</t>
  </si>
  <si>
    <t>Student Name</t>
  </si>
  <si>
    <t>Pass/Fail Status</t>
  </si>
  <si>
    <t>Performance Category</t>
  </si>
  <si>
    <t>Above/Below Average Indicator</t>
  </si>
  <si>
    <t>Subject-wise Aggregations</t>
  </si>
  <si>
    <t>City-wise Analysis</t>
  </si>
  <si>
    <t>Tools Used</t>
  </si>
  <si>
    <t>Microsoft Excel</t>
  </si>
  <si>
    <t>Pivot Tables</t>
  </si>
  <si>
    <t>Formulas &amp; Functions</t>
  </si>
  <si>
    <t>Data Cleaning Techniques</t>
  </si>
  <si>
    <t>Skills Demonstrated</t>
  </si>
  <si>
    <t>Data Cleaning</t>
  </si>
  <si>
    <t>Removed blank and duplicate records</t>
  </si>
  <si>
    <t>Standardized text using TRIM and PROPER</t>
  </si>
  <si>
    <t>Corrected data types</t>
  </si>
  <si>
    <t>Validated numerical fields</t>
  </si>
  <si>
    <t>Data Analysis</t>
  </si>
  <si>
    <t>Average calculation</t>
  </si>
  <si>
    <t>Pass/Fail classification</t>
  </si>
  <si>
    <t>Above/Below average comparison</t>
  </si>
  <si>
    <t>Subject-wise performance analysis</t>
  </si>
  <si>
    <t>City-wise performance analysis</t>
  </si>
  <si>
    <t>Excel Techniques</t>
  </si>
  <si>
    <t>IF formulas</t>
  </si>
  <si>
    <t>Sorting and filtering</t>
  </si>
  <si>
    <t>Conditional logic</t>
  </si>
  <si>
    <t>Aggregations (AVG, COUNT, MAX)</t>
  </si>
  <si>
    <t>Business Questions Answered</t>
  </si>
  <si>
    <t>Which students scored above the overall average?</t>
  </si>
  <si>
    <t>What is the pass vs fail distribution?</t>
  </si>
  <si>
    <t>Which subject has the highest average marks?</t>
  </si>
  <si>
    <t>How does student performance vary by city?</t>
  </si>
  <si>
    <t>Who are the top performers by subject and city?</t>
  </si>
  <si>
    <t>Key Insights</t>
  </si>
  <si>
    <t>Identified top-performing students across cities</t>
  </si>
  <si>
    <t>Found subject-wise performance trends</t>
  </si>
  <si>
    <t>Analyzed pass/fail ratio</t>
  </si>
  <si>
    <t>Compared individual performance against overall average</t>
  </si>
  <si>
    <t>Conclusion</t>
  </si>
  <si>
    <t>This project demonstrates my ability to clean raw data, perform structured analysis, and generate business-ready insights using Excel. It reflects real-world data analyst workflows and reporting standards.</t>
  </si>
  <si>
    <t>Author</t>
  </si>
  <si>
    <t>Aspiring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</si>
</sst>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indent="1"/>
    </xf>
    <xf numFmtId="0" fontId="1" fillId="0" borderId="1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gula suresh" refreshedDate="46034.961457523146" backgroundQuery="1" createdVersion="8" refreshedVersion="8" minRefreshableVersion="3" recordCount="0" supportSubquery="1" supportAdvancedDrill="1" xr:uid="{4BAEEF22-5DE9-4CDF-B23C-32BE7DF5D647}">
  <cacheSource type="external" connectionId="1"/>
  <cacheFields count="4">
    <cacheField name="[Range].[City].[City]" caption="City" numFmtId="0" hierarchy="5" level="1">
      <sharedItems count="4">
        <s v="Hyderabad"/>
        <s v="Vijayawada"/>
        <s v="Vizag"/>
        <s v="Warangal"/>
      </sharedItems>
    </cacheField>
    <cacheField name="[Range].[Name].[Name]" caption="Name" numFmtId="0" hierarchy="1" level="1">
      <sharedItems count="20">
        <s v="Anisha"/>
        <s v="Chandu"/>
        <s v="Munisha"/>
        <s v="Ravi"/>
        <s v="Rohit"/>
        <s v="Varun"/>
        <s v="Kavya"/>
        <s v="Monisha"/>
        <s v="Pooja"/>
        <s v="Sweety"/>
        <s v="Kiran"/>
        <s v="Latha"/>
        <s v="Neha"/>
        <s v="Sirisha"/>
        <s v="Sita"/>
        <s v="Yogisha"/>
        <s v="Arjun"/>
        <s v="Harisha"/>
        <s v="Sony"/>
        <s v="Surya"/>
      </sharedItems>
    </cacheField>
    <cacheField name="[Measures].[Sum of Marks]" caption="Sum of Marks" numFmtId="0" hierarchy="11" level="32767"/>
    <cacheField name="Unsupported0" numFmtId="0" hierarchy="1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3">
    <cacheHierarchy uniqueName="[Range].[Student_ID]" caption="Student_ID" attribute="1" defaultMemberUniqueName="[Range].[Student_ID].[All]" allUniqueName="[Range].[Student_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ubject]" caption="Subject" attribute="1" defaultMemberUniqueName="[Range].[Subject].[All]" allUniqueName="[Range].[Subject].[All]" dimensionUniqueName="[Range]" displayFolder="" count="0" memberValueDatatype="130" unbalanced="0"/>
    <cacheHierarchy uniqueName="[Range].[Marks]" caption="Marks" attribute="1" defaultMemberUniqueName="[Range].[Marks].[All]" allUniqueName="[Range].[Marks].[All]" dimensionUniqueName="[Range]" displayFolder="" count="0" memberValueDatatype="20" unbalanced="0"/>
    <cacheHierarchy uniqueName="[Range].[Attendance]" caption="Attendance" attribute="1" defaultMemberUniqueName="[Range].[Attendance].[All]" allUniqueName="[Range].[Attendance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ss/Fail]" caption="Pass/Fail" attribute="1" defaultMemberUniqueName="[Range].[Pass/Fail].[All]" allUniqueName="[Range].[Pass/Fail].[All]" dimensionUniqueName="[Range]" displayFolder="" count="0" memberValueDatatype="130" unbalanced="0"/>
    <cacheHierarchy uniqueName="[Range].[Grade]" caption="Grade" attribute="1" defaultMemberUniqueName="[Range].[Grade].[All]" allUniqueName="[Range].[Grade].[All]" dimensionUniqueName="[Range]" displayFolder="" count="0" memberValueDatatype="130" unbalanced="0"/>
    <cacheHierarchy uniqueName="[Range].[Attendance Status]" caption="Attendance Status" attribute="1" defaultMemberUniqueName="[Range].[Attendance Status].[All]" allUniqueName="[Range].[Attendance 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arks]" caption="Sum of Mark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Unsupported0" caption="Student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532C2-116D-4B4A-8F27-95DF57CABBDD}" name="PivotTable10" cacheId="250" applyNumberFormats="0" applyBorderFormats="0" applyFontFormats="0" applyPatternFormats="0" applyAlignmentFormats="0" applyWidthHeightFormats="1" dataCaption="Values" updatedVersion="8" minRefreshableVersion="3" subtotalHiddenItems="1" rowGrandTotals="0" colGrandTotals="0" itemPrintTitles="1" createdVersion="8" indent="0" outline="1" outlineData="1" multipleFieldFilters="0">
  <location ref="A3:C27" firstHeaderRow="0" firstDataRow="1" firstDataCol="1"/>
  <pivotFields count="4">
    <pivotField axis="axisRow" allDrilled="1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howAll="0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 r="1">
      <x v="15"/>
    </i>
    <i>
      <x v="3"/>
    </i>
    <i r="1">
      <x v="16"/>
    </i>
    <i r="1">
      <x v="17"/>
    </i>
    <i r="1">
      <x v="18"/>
    </i>
    <i r="1">
      <x v="19"/>
    </i>
  </rowItems>
  <colFields count="1">
    <field x="-2"/>
  </colFields>
  <colItems count="2">
    <i>
      <x/>
    </i>
    <i i="1">
      <x v="1"/>
    </i>
  </colItems>
  <dataFields count="2">
    <dataField name="Sum of Marks" fld="2" baseField="0" baseItem="0"/>
    <dataField name="Rank by City" fld="3" baseField="1" baseItem="0">
      <extLst>
        <ext xmlns:x14="http://schemas.microsoft.com/office/spreadsheetml/2009/9/main" uri="{E15A36E0-9728-4e99-A89B-3F7291B0FE68}">
          <x14:dataField pivotShowAs="rankDescending" sourceField="2" uniqueName="[__Xl2].[Measures].[Sum of Marks]"/>
        </ext>
      </extLst>
    </dataField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ank by City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 Data!$A$1:$I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7003589-28C3-49AD-841E-E8646510D77D}" name="Table19" displayName="Table19" ref="A1:O21" totalsRowShown="0" headerRowDxfId="0">
  <autoFilter ref="A1:O21" xr:uid="{F7003589-28C3-49AD-841E-E8646510D77D}"/>
  <tableColumns count="15">
    <tableColumn id="1" xr3:uid="{DC27F892-0256-4FBF-B363-89DC40D2E65B}" name="Student_ID" dataDxfId="8"/>
    <tableColumn id="2" xr3:uid="{52E61A5B-BF5C-4F72-9375-5808E0255915}" name="Name" dataDxfId="7"/>
    <tableColumn id="3" xr3:uid="{9E70F90C-FDAB-445D-8D28-E36DAA478991}" name="Subject" dataDxfId="6"/>
    <tableColumn id="4" xr3:uid="{D9BDCAE2-10BC-47BC-A486-61F8617FB721}" name="Marks" dataDxfId="5"/>
    <tableColumn id="5" xr3:uid="{E701BEF9-64E8-4348-83DB-349280B78D9D}" name="Attendance" dataDxfId="4"/>
    <tableColumn id="6" xr3:uid="{A3B759CD-7550-41B3-9C29-5A12B26CA302}" name="City" dataDxfId="3"/>
    <tableColumn id="7" xr3:uid="{A256ED1E-AB71-4CB9-912E-C3982FBFB184}" name="Pass/Fail" dataDxfId="2">
      <calculatedColumnFormula>IF(D2&gt;=40, "Pass","Fail")</calculatedColumnFormula>
    </tableColumn>
    <tableColumn id="8" xr3:uid="{1B2EA101-4A8F-456B-BAE3-597B742C185C}" name="Grade">
      <calculatedColumnFormula>IF(D2&gt;=90,"A", IF(D2&gt;=75, "B",IF(D2&gt;=60,"C", "D") ))</calculatedColumnFormula>
    </tableColumn>
    <tableColumn id="9" xr3:uid="{FFF50E75-5049-4263-8F4F-37D236D8C294}" name="Attendance Status">
      <calculatedColumnFormula>IF(E2&gt;=75,"Eligible", "Not Eligible")</calculatedColumnFormula>
    </tableColumn>
    <tableColumn id="10" xr3:uid="{1AA8E10D-21CF-4ABB-89F5-A8292567D1FD}" name="Performance Style">
      <calculatedColumnFormula>IF(D2&gt;=85,"Top Perfomer", IF(D2&gt;=60, "Average Performer", "Needs Improvement"))</calculatedColumnFormula>
    </tableColumn>
    <tableColumn id="11" xr3:uid="{28D9EC59-209A-4C68-9D5B-667F59FB988D}" name="Average of Marks" dataDxfId="1">
      <calculatedColumnFormula>AVERAGE(D:D)</calculatedColumnFormula>
    </tableColumn>
    <tableColumn id="12" xr3:uid="{5CFE4AC9-D50C-470B-B868-90BCB397B9C1}" name="Overall_Average">
      <calculatedColumnFormula>IF(D2&gt;$K$2,"Above Average", "Below Average")</calculatedColumnFormula>
    </tableColumn>
    <tableColumn id="13" xr3:uid="{14DCD57D-B4F1-42B8-BE63-099ABFD0FDE6}" name="Attendance _Category">
      <calculatedColumnFormula>IF(E2&gt;=90,"Exellent",IF(E2&gt;=75,"Good","Poor"))</calculatedColumnFormula>
    </tableColumn>
    <tableColumn id="14" xr3:uid="{FE77744A-89ED-475C-BCA3-D6D664ADF73D}" name="Top Score Flag">
      <calculatedColumnFormula>IF(D2=MAX(D:D),"Topper","")</calculatedColumnFormula>
    </tableColumn>
    <tableColumn id="15" xr3:uid="{E95BDD41-3B06-4237-A783-56F52AEBDDCB}" name="Risk Flag">
      <calculatedColumnFormula>IF(OR(D2&lt;=40,E2&lt;=75),"At risk", "Safe")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5B82-7168-4E01-AE43-FDC69E3D9BEA}">
  <dimension ref="A3:C27"/>
  <sheetViews>
    <sheetView tabSelected="1" workbookViewId="0">
      <selection activeCell="K31" activeCellId="1" sqref="C5 K31"/>
    </sheetView>
  </sheetViews>
  <sheetFormatPr defaultRowHeight="14.4" x14ac:dyDescent="0.3"/>
  <cols>
    <col min="1" max="1" width="12.77734375" bestFit="1" customWidth="1"/>
    <col min="2" max="2" width="11.88671875" bestFit="1" customWidth="1"/>
    <col min="3" max="3" width="12.6640625" bestFit="1" customWidth="1"/>
    <col min="4" max="4" width="7.5546875" bestFit="1" customWidth="1"/>
    <col min="5" max="5" width="7.21875" bestFit="1" customWidth="1"/>
    <col min="6" max="6" width="6.109375" bestFit="1" customWidth="1"/>
    <col min="7" max="7" width="5.33203125" bestFit="1" customWidth="1"/>
    <col min="8" max="8" width="5.6640625" bestFit="1" customWidth="1"/>
    <col min="9" max="10" width="8.33203125" bestFit="1" customWidth="1"/>
    <col min="11" max="11" width="5.44140625" bestFit="1" customWidth="1"/>
    <col min="12" max="12" width="5.88671875" bestFit="1" customWidth="1"/>
    <col min="13" max="13" width="4.5546875" bestFit="1" customWidth="1"/>
    <col min="14" max="14" width="5.44140625" bestFit="1" customWidth="1"/>
    <col min="15" max="15" width="6.44140625" bestFit="1" customWidth="1"/>
    <col min="16" max="16" width="4.109375" bestFit="1" customWidth="1"/>
    <col min="17" max="17" width="5.21875" bestFit="1" customWidth="1"/>
    <col min="18" max="18" width="5.77734375" bestFit="1" customWidth="1"/>
    <col min="19" max="19" width="7.109375" bestFit="1" customWidth="1"/>
    <col min="20" max="20" width="6.109375" bestFit="1" customWidth="1"/>
    <col min="21" max="21" width="7.44140625" bestFit="1" customWidth="1"/>
    <col min="22" max="22" width="10.77734375" bestFit="1" customWidth="1"/>
  </cols>
  <sheetData>
    <row r="3" spans="1:3" x14ac:dyDescent="0.3">
      <c r="A3" s="3" t="s">
        <v>35</v>
      </c>
      <c r="B3" t="s">
        <v>39</v>
      </c>
      <c r="C3" t="s">
        <v>45</v>
      </c>
    </row>
    <row r="4" spans="1:3" x14ac:dyDescent="0.3">
      <c r="A4" s="4" t="s">
        <v>15</v>
      </c>
      <c r="B4" s="6"/>
      <c r="C4" s="6"/>
    </row>
    <row r="5" spans="1:3" x14ac:dyDescent="0.3">
      <c r="A5" s="9" t="s">
        <v>24</v>
      </c>
      <c r="B5" s="6">
        <v>96</v>
      </c>
      <c r="C5" s="6">
        <v>1</v>
      </c>
    </row>
    <row r="6" spans="1:3" x14ac:dyDescent="0.3">
      <c r="A6" s="9" t="s">
        <v>4</v>
      </c>
      <c r="B6" s="6">
        <v>39</v>
      </c>
      <c r="C6" s="6">
        <v>6</v>
      </c>
    </row>
    <row r="7" spans="1:3" x14ac:dyDescent="0.3">
      <c r="A7" s="9" t="s">
        <v>1</v>
      </c>
      <c r="B7" s="6">
        <v>89</v>
      </c>
      <c r="C7" s="6">
        <v>2</v>
      </c>
    </row>
    <row r="8" spans="1:3" x14ac:dyDescent="0.3">
      <c r="A8" s="9" t="s">
        <v>26</v>
      </c>
      <c r="B8" s="6">
        <v>72</v>
      </c>
      <c r="C8" s="6">
        <v>3</v>
      </c>
    </row>
    <row r="9" spans="1:3" x14ac:dyDescent="0.3">
      <c r="A9" s="9" t="s">
        <v>29</v>
      </c>
      <c r="B9" s="6">
        <v>58</v>
      </c>
      <c r="C9" s="6">
        <v>5</v>
      </c>
    </row>
    <row r="10" spans="1:3" x14ac:dyDescent="0.3">
      <c r="A10" s="9" t="s">
        <v>33</v>
      </c>
      <c r="B10" s="6">
        <v>66</v>
      </c>
      <c r="C10" s="6">
        <v>4</v>
      </c>
    </row>
    <row r="11" spans="1:3" x14ac:dyDescent="0.3">
      <c r="A11" s="4" t="s">
        <v>23</v>
      </c>
      <c r="B11" s="6"/>
      <c r="C11" s="6"/>
    </row>
    <row r="12" spans="1:3" x14ac:dyDescent="0.3">
      <c r="A12" s="9" t="s">
        <v>32</v>
      </c>
      <c r="B12" s="6">
        <v>90</v>
      </c>
      <c r="C12" s="6">
        <v>1</v>
      </c>
    </row>
    <row r="13" spans="1:3" x14ac:dyDescent="0.3">
      <c r="A13" s="9" t="s">
        <v>21</v>
      </c>
      <c r="B13" s="6">
        <v>83</v>
      </c>
      <c r="C13" s="6">
        <v>3</v>
      </c>
    </row>
    <row r="14" spans="1:3" x14ac:dyDescent="0.3">
      <c r="A14" s="9" t="s">
        <v>28</v>
      </c>
      <c r="B14" s="6">
        <v>87</v>
      </c>
      <c r="C14" s="6">
        <v>2</v>
      </c>
    </row>
    <row r="15" spans="1:3" x14ac:dyDescent="0.3">
      <c r="A15" s="9" t="s">
        <v>3</v>
      </c>
      <c r="B15" s="6">
        <v>36</v>
      </c>
      <c r="C15" s="6">
        <v>4</v>
      </c>
    </row>
    <row r="16" spans="1:3" x14ac:dyDescent="0.3">
      <c r="A16" s="4" t="s">
        <v>17</v>
      </c>
      <c r="B16" s="6"/>
      <c r="C16" s="6"/>
    </row>
    <row r="17" spans="1:3" x14ac:dyDescent="0.3">
      <c r="A17" s="9" t="s">
        <v>27</v>
      </c>
      <c r="B17" s="6">
        <v>91</v>
      </c>
      <c r="C17" s="6">
        <v>2</v>
      </c>
    </row>
    <row r="18" spans="1:3" x14ac:dyDescent="0.3">
      <c r="A18" s="9" t="s">
        <v>8</v>
      </c>
      <c r="B18" s="6">
        <v>65</v>
      </c>
      <c r="C18" s="6">
        <v>6</v>
      </c>
    </row>
    <row r="19" spans="1:3" x14ac:dyDescent="0.3">
      <c r="A19" s="9" t="s">
        <v>30</v>
      </c>
      <c r="B19" s="6">
        <v>74</v>
      </c>
      <c r="C19" s="6">
        <v>5</v>
      </c>
    </row>
    <row r="20" spans="1:3" x14ac:dyDescent="0.3">
      <c r="A20" s="9" t="s">
        <v>9</v>
      </c>
      <c r="B20" s="6">
        <v>78</v>
      </c>
      <c r="C20" s="6">
        <v>4</v>
      </c>
    </row>
    <row r="21" spans="1:3" x14ac:dyDescent="0.3">
      <c r="A21" s="9" t="s">
        <v>34</v>
      </c>
      <c r="B21" s="6">
        <v>95</v>
      </c>
      <c r="C21" s="6">
        <v>1</v>
      </c>
    </row>
    <row r="22" spans="1:3" x14ac:dyDescent="0.3">
      <c r="A22" s="9" t="s">
        <v>25</v>
      </c>
      <c r="B22" s="6">
        <v>88</v>
      </c>
      <c r="C22" s="6">
        <v>3</v>
      </c>
    </row>
    <row r="23" spans="1:3" x14ac:dyDescent="0.3">
      <c r="A23" s="4" t="s">
        <v>20</v>
      </c>
      <c r="B23" s="6"/>
      <c r="C23" s="6"/>
    </row>
    <row r="24" spans="1:3" x14ac:dyDescent="0.3">
      <c r="A24" s="9" t="s">
        <v>31</v>
      </c>
      <c r="B24" s="6">
        <v>81</v>
      </c>
      <c r="C24" s="6">
        <v>1</v>
      </c>
    </row>
    <row r="25" spans="1:3" x14ac:dyDescent="0.3">
      <c r="A25" s="9" t="s">
        <v>18</v>
      </c>
      <c r="B25" s="6">
        <v>65</v>
      </c>
      <c r="C25" s="6">
        <v>3</v>
      </c>
    </row>
    <row r="26" spans="1:3" x14ac:dyDescent="0.3">
      <c r="A26" s="9" t="s">
        <v>2</v>
      </c>
      <c r="B26" s="6">
        <v>34</v>
      </c>
      <c r="C26" s="6">
        <v>4</v>
      </c>
    </row>
    <row r="27" spans="1:3" x14ac:dyDescent="0.3">
      <c r="A27" s="9" t="s">
        <v>5</v>
      </c>
      <c r="B27" s="6">
        <v>69</v>
      </c>
      <c r="C27" s="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1CFC-4371-496E-826D-4733B0B10C8C}">
  <dimension ref="A1:P25"/>
  <sheetViews>
    <sheetView topLeftCell="B2" workbookViewId="0">
      <selection activeCell="H25" sqref="H25"/>
    </sheetView>
  </sheetViews>
  <sheetFormatPr defaultRowHeight="14.4" x14ac:dyDescent="0.3"/>
  <cols>
    <col min="1" max="1" width="12.33203125" customWidth="1"/>
    <col min="3" max="3" width="9.21875" customWidth="1"/>
    <col min="5" max="5" width="12.6640625" customWidth="1"/>
    <col min="6" max="6" width="18.6640625" customWidth="1"/>
    <col min="7" max="7" width="10.21875" customWidth="1"/>
    <col min="9" max="10" width="18.33203125" customWidth="1"/>
    <col min="11" max="11" width="17.6640625" style="7" customWidth="1"/>
    <col min="12" max="12" width="16.6640625" customWidth="1"/>
    <col min="13" max="13" width="21.6640625" customWidth="1"/>
    <col min="14" max="14" width="15.88671875" bestFit="1" customWidth="1"/>
    <col min="15" max="15" width="10" customWidth="1"/>
  </cols>
  <sheetData>
    <row r="1" spans="1:16" x14ac:dyDescent="0.3">
      <c r="A1" s="1" t="s">
        <v>10</v>
      </c>
      <c r="B1" s="1" t="s">
        <v>0</v>
      </c>
      <c r="C1" s="1" t="s">
        <v>11</v>
      </c>
      <c r="D1" s="1" t="s">
        <v>6</v>
      </c>
      <c r="E1" s="1" t="s">
        <v>12</v>
      </c>
      <c r="F1" s="1" t="s">
        <v>13</v>
      </c>
      <c r="G1" s="1" t="s">
        <v>36</v>
      </c>
      <c r="H1" s="1" t="s">
        <v>7</v>
      </c>
      <c r="I1" s="1" t="s">
        <v>37</v>
      </c>
      <c r="J1" s="1" t="s">
        <v>38</v>
      </c>
      <c r="K1" s="8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5"/>
    </row>
    <row r="2" spans="1:16" x14ac:dyDescent="0.3">
      <c r="A2" s="2">
        <v>1</v>
      </c>
      <c r="B2" s="2" t="s">
        <v>1</v>
      </c>
      <c r="C2" s="2" t="s">
        <v>14</v>
      </c>
      <c r="D2" s="2">
        <v>89</v>
      </c>
      <c r="E2" s="2">
        <v>92</v>
      </c>
      <c r="F2" s="2" t="s">
        <v>15</v>
      </c>
      <c r="G2" s="7" t="str">
        <f>IF(D2&gt;=40, "Pass","Fail")</f>
        <v>Pass</v>
      </c>
      <c r="H2" t="str">
        <f>IF(D2&gt;=90,"A", IF(D2&gt;=75, "B",IF(D2&gt;=60,"C", "D") ))</f>
        <v>B</v>
      </c>
      <c r="I2" t="str">
        <f>IF(E2&gt;=75,"Eligible", "Not Eligible")</f>
        <v>Eligible</v>
      </c>
      <c r="J2" t="str">
        <f>IF(D2&gt;=85,"Top Perfomer", IF(D2&gt;=60, "Average Performer", "Needs Improvement"))</f>
        <v>Top Perfomer</v>
      </c>
      <c r="K2" s="7">
        <f>AVERAGE(D:D)</f>
        <v>72.8</v>
      </c>
      <c r="L2" t="str">
        <f>IF(D2&gt;$K$2,"Above Average", "Below Average")</f>
        <v>Above Average</v>
      </c>
      <c r="M2" t="str">
        <f>IF(E2&gt;=90,"Exellent",IF(E2&gt;=75,"Good","Poor"))</f>
        <v>Exellent</v>
      </c>
      <c r="N2" t="str">
        <f>IF(D2=MAX(D:D),"Topper","")</f>
        <v/>
      </c>
      <c r="O2" t="str">
        <f>IF(OR(D2&lt;=40,E2&lt;=75),"At risk", "Safe")</f>
        <v>Safe</v>
      </c>
      <c r="P2" s="10"/>
    </row>
    <row r="3" spans="1:16" x14ac:dyDescent="0.3">
      <c r="A3" s="2">
        <v>2</v>
      </c>
      <c r="B3" s="2" t="s">
        <v>9</v>
      </c>
      <c r="C3" s="2" t="s">
        <v>16</v>
      </c>
      <c r="D3" s="2">
        <v>78</v>
      </c>
      <c r="E3" s="2">
        <v>85</v>
      </c>
      <c r="F3" s="2" t="s">
        <v>17</v>
      </c>
      <c r="G3" s="7" t="str">
        <f t="shared" ref="G3:G21" si="0">IF(D3&gt;=40, "Pass","Fail")</f>
        <v>Pass</v>
      </c>
      <c r="H3" t="str">
        <f t="shared" ref="H3:H21" si="1">IF(D3&gt;=90,"A", IF(D3&gt;=75, "B",IF(D3&gt;=60,"C", "D") ))</f>
        <v>B</v>
      </c>
      <c r="I3" t="str">
        <f t="shared" ref="I3:I21" si="2">IF(E3&gt;=75,"Eligible", "Not Eligible")</f>
        <v>Eligible</v>
      </c>
      <c r="J3" t="str">
        <f t="shared" ref="J3:J20" si="3">IF(D3&gt;=85,"Top Perfomer", IF(D3&gt;=60, "Average Performer", "Needs Improvement"))</f>
        <v>Average Performer</v>
      </c>
      <c r="K3" s="7">
        <f t="shared" ref="K3:K21" si="4">AVERAGE(D:D)</f>
        <v>72.8</v>
      </c>
      <c r="L3" t="str">
        <f t="shared" ref="L3:L21" si="5">IF(D3&gt;$K$2,"Above Average", "Below Average")</f>
        <v>Above Average</v>
      </c>
      <c r="M3" t="str">
        <f t="shared" ref="M3:M21" si="6">IF(E3&gt;=90,"Exellent",IF(E3&gt;=75,"Good","Poor"))</f>
        <v>Good</v>
      </c>
      <c r="N3" t="str">
        <f t="shared" ref="N3:N21" si="7">IF(D3=MAX(D:D),"Topper","")</f>
        <v/>
      </c>
      <c r="O3" t="str">
        <f t="shared" ref="O3:O21" si="8">IF(OR(D3&lt;=40,E3&lt;=75),"At risk", "Safe")</f>
        <v>Safe</v>
      </c>
      <c r="P3" s="6"/>
    </row>
    <row r="4" spans="1:16" x14ac:dyDescent="0.3">
      <c r="A4" s="2">
        <v>3</v>
      </c>
      <c r="B4" s="2" t="s">
        <v>18</v>
      </c>
      <c r="C4" s="2" t="s">
        <v>19</v>
      </c>
      <c r="D4" s="2">
        <v>65</v>
      </c>
      <c r="E4" s="2">
        <v>80</v>
      </c>
      <c r="F4" s="2" t="s">
        <v>20</v>
      </c>
      <c r="G4" s="7" t="str">
        <f t="shared" si="0"/>
        <v>Pass</v>
      </c>
      <c r="H4" t="str">
        <f t="shared" si="1"/>
        <v>C</v>
      </c>
      <c r="I4" t="str">
        <f t="shared" si="2"/>
        <v>Eligible</v>
      </c>
      <c r="J4" t="str">
        <f t="shared" si="3"/>
        <v>Average Performer</v>
      </c>
      <c r="K4" s="7">
        <f t="shared" si="4"/>
        <v>72.8</v>
      </c>
      <c r="L4" t="str">
        <f t="shared" si="5"/>
        <v>Below Average</v>
      </c>
      <c r="M4" t="str">
        <f t="shared" si="6"/>
        <v>Good</v>
      </c>
      <c r="N4" t="str">
        <f t="shared" si="7"/>
        <v/>
      </c>
      <c r="O4" t="str">
        <f t="shared" si="8"/>
        <v>Safe</v>
      </c>
      <c r="P4" s="6"/>
    </row>
    <row r="5" spans="1:16" ht="28.8" x14ac:dyDescent="0.3">
      <c r="A5" s="2">
        <v>4</v>
      </c>
      <c r="B5" s="2" t="s">
        <v>21</v>
      </c>
      <c r="C5" s="2" t="s">
        <v>22</v>
      </c>
      <c r="D5" s="2">
        <v>83</v>
      </c>
      <c r="E5" s="2">
        <v>88</v>
      </c>
      <c r="F5" s="2" t="s">
        <v>23</v>
      </c>
      <c r="G5" s="7" t="str">
        <f t="shared" si="0"/>
        <v>Pass</v>
      </c>
      <c r="H5" t="str">
        <f t="shared" si="1"/>
        <v>B</v>
      </c>
      <c r="I5" t="str">
        <f t="shared" si="2"/>
        <v>Eligible</v>
      </c>
      <c r="J5" t="str">
        <f t="shared" si="3"/>
        <v>Average Performer</v>
      </c>
      <c r="K5" s="7">
        <f t="shared" si="4"/>
        <v>72.8</v>
      </c>
      <c r="L5" t="str">
        <f t="shared" si="5"/>
        <v>Above Average</v>
      </c>
      <c r="M5" t="str">
        <f t="shared" si="6"/>
        <v>Good</v>
      </c>
      <c r="N5" t="str">
        <f t="shared" si="7"/>
        <v/>
      </c>
      <c r="O5" t="str">
        <f t="shared" si="8"/>
        <v>Safe</v>
      </c>
      <c r="P5" s="6"/>
    </row>
    <row r="6" spans="1:16" ht="28.8" x14ac:dyDescent="0.3">
      <c r="A6" s="2">
        <v>5</v>
      </c>
      <c r="B6" s="2" t="s">
        <v>24</v>
      </c>
      <c r="C6" s="2" t="s">
        <v>14</v>
      </c>
      <c r="D6" s="2">
        <v>96</v>
      </c>
      <c r="E6" s="2">
        <v>95</v>
      </c>
      <c r="F6" s="2" t="s">
        <v>15</v>
      </c>
      <c r="G6" s="7" t="str">
        <f t="shared" si="0"/>
        <v>Pass</v>
      </c>
      <c r="H6" t="str">
        <f t="shared" si="1"/>
        <v>A</v>
      </c>
      <c r="I6" t="str">
        <f t="shared" si="2"/>
        <v>Eligible</v>
      </c>
      <c r="J6" t="str">
        <f t="shared" si="3"/>
        <v>Top Perfomer</v>
      </c>
      <c r="K6" s="7">
        <f t="shared" si="4"/>
        <v>72.8</v>
      </c>
      <c r="L6" t="str">
        <f t="shared" si="5"/>
        <v>Above Average</v>
      </c>
      <c r="M6" t="str">
        <f t="shared" si="6"/>
        <v>Exellent</v>
      </c>
      <c r="N6" t="str">
        <f t="shared" si="7"/>
        <v>Topper</v>
      </c>
      <c r="O6" t="str">
        <f t="shared" si="8"/>
        <v>Safe</v>
      </c>
      <c r="P6" s="6"/>
    </row>
    <row r="7" spans="1:16" x14ac:dyDescent="0.3">
      <c r="A7" s="2">
        <v>6</v>
      </c>
      <c r="B7" s="2" t="s">
        <v>25</v>
      </c>
      <c r="C7" s="2" t="s">
        <v>16</v>
      </c>
      <c r="D7" s="2">
        <v>88</v>
      </c>
      <c r="E7" s="2">
        <v>90</v>
      </c>
      <c r="F7" s="2" t="s">
        <v>17</v>
      </c>
      <c r="G7" s="7" t="str">
        <f t="shared" si="0"/>
        <v>Pass</v>
      </c>
      <c r="H7" t="str">
        <f t="shared" si="1"/>
        <v>B</v>
      </c>
      <c r="I7" t="str">
        <f t="shared" si="2"/>
        <v>Eligible</v>
      </c>
      <c r="J7" t="str">
        <f t="shared" si="3"/>
        <v>Top Perfomer</v>
      </c>
      <c r="K7" s="7">
        <f t="shared" si="4"/>
        <v>72.8</v>
      </c>
      <c r="L7" t="str">
        <f t="shared" si="5"/>
        <v>Above Average</v>
      </c>
      <c r="M7" t="str">
        <f t="shared" si="6"/>
        <v>Exellent</v>
      </c>
      <c r="N7" t="str">
        <f t="shared" si="7"/>
        <v/>
      </c>
      <c r="O7" t="str">
        <f t="shared" si="8"/>
        <v>Safe</v>
      </c>
      <c r="P7" s="6"/>
    </row>
    <row r="8" spans="1:16" x14ac:dyDescent="0.3">
      <c r="A8" s="2">
        <v>7</v>
      </c>
      <c r="B8" s="2" t="s">
        <v>2</v>
      </c>
      <c r="C8" s="2" t="s">
        <v>19</v>
      </c>
      <c r="D8" s="2">
        <v>34</v>
      </c>
      <c r="E8" s="2">
        <v>60</v>
      </c>
      <c r="F8" s="2" t="s">
        <v>20</v>
      </c>
      <c r="G8" s="7" t="str">
        <f t="shared" si="0"/>
        <v>Fail</v>
      </c>
      <c r="H8" t="str">
        <f t="shared" si="1"/>
        <v>D</v>
      </c>
      <c r="I8" t="str">
        <f t="shared" si="2"/>
        <v>Not Eligible</v>
      </c>
      <c r="J8" t="str">
        <f t="shared" si="3"/>
        <v>Needs Improvement</v>
      </c>
      <c r="K8" s="7">
        <f t="shared" si="4"/>
        <v>72.8</v>
      </c>
      <c r="L8" t="str">
        <f t="shared" si="5"/>
        <v>Below Average</v>
      </c>
      <c r="M8" t="str">
        <f t="shared" si="6"/>
        <v>Poor</v>
      </c>
      <c r="N8" t="str">
        <f t="shared" si="7"/>
        <v/>
      </c>
      <c r="O8" t="str">
        <f t="shared" si="8"/>
        <v>At risk</v>
      </c>
      <c r="P8" s="6"/>
    </row>
    <row r="9" spans="1:16" x14ac:dyDescent="0.3">
      <c r="A9" s="2">
        <v>8</v>
      </c>
      <c r="B9" s="2" t="s">
        <v>3</v>
      </c>
      <c r="C9" s="2" t="s">
        <v>22</v>
      </c>
      <c r="D9" s="2">
        <v>36</v>
      </c>
      <c r="E9" s="2">
        <v>65</v>
      </c>
      <c r="F9" s="2" t="s">
        <v>23</v>
      </c>
      <c r="G9" s="7" t="str">
        <f t="shared" si="0"/>
        <v>Fail</v>
      </c>
      <c r="H9" t="str">
        <f t="shared" si="1"/>
        <v>D</v>
      </c>
      <c r="I9" t="str">
        <f t="shared" si="2"/>
        <v>Not Eligible</v>
      </c>
      <c r="J9" t="str">
        <f t="shared" si="3"/>
        <v>Needs Improvement</v>
      </c>
      <c r="K9" s="7">
        <f t="shared" si="4"/>
        <v>72.8</v>
      </c>
      <c r="L9" t="str">
        <f t="shared" si="5"/>
        <v>Below Average</v>
      </c>
      <c r="M9" t="str">
        <f t="shared" si="6"/>
        <v>Poor</v>
      </c>
      <c r="N9" t="str">
        <f t="shared" si="7"/>
        <v/>
      </c>
      <c r="O9" t="str">
        <f t="shared" si="8"/>
        <v>At risk</v>
      </c>
      <c r="P9" s="10"/>
    </row>
    <row r="10" spans="1:16" ht="28.8" x14ac:dyDescent="0.3">
      <c r="A10" s="2">
        <v>9</v>
      </c>
      <c r="B10" s="2" t="s">
        <v>4</v>
      </c>
      <c r="C10" s="2" t="s">
        <v>14</v>
      </c>
      <c r="D10" s="2">
        <v>39</v>
      </c>
      <c r="E10" s="2">
        <v>70</v>
      </c>
      <c r="F10" s="2" t="s">
        <v>15</v>
      </c>
      <c r="G10" s="7" t="str">
        <f t="shared" si="0"/>
        <v>Fail</v>
      </c>
      <c r="H10" t="str">
        <f t="shared" si="1"/>
        <v>D</v>
      </c>
      <c r="I10" t="str">
        <f t="shared" si="2"/>
        <v>Not Eligible</v>
      </c>
      <c r="J10" t="str">
        <f t="shared" si="3"/>
        <v>Needs Improvement</v>
      </c>
      <c r="K10" s="7">
        <f t="shared" si="4"/>
        <v>72.8</v>
      </c>
      <c r="L10" t="str">
        <f t="shared" si="5"/>
        <v>Below Average</v>
      </c>
      <c r="M10" t="str">
        <f t="shared" si="6"/>
        <v>Poor</v>
      </c>
      <c r="N10" t="str">
        <f t="shared" si="7"/>
        <v/>
      </c>
      <c r="O10" t="str">
        <f t="shared" si="8"/>
        <v>At risk</v>
      </c>
      <c r="P10" s="6"/>
    </row>
    <row r="11" spans="1:16" x14ac:dyDescent="0.3">
      <c r="A11" s="2">
        <v>10</v>
      </c>
      <c r="B11" s="2" t="s">
        <v>8</v>
      </c>
      <c r="C11" s="2" t="s">
        <v>19</v>
      </c>
      <c r="D11" s="2">
        <v>65</v>
      </c>
      <c r="E11" s="2">
        <v>82</v>
      </c>
      <c r="F11" s="2" t="s">
        <v>17</v>
      </c>
      <c r="G11" s="7" t="str">
        <f t="shared" si="0"/>
        <v>Pass</v>
      </c>
      <c r="H11" t="str">
        <f t="shared" si="1"/>
        <v>C</v>
      </c>
      <c r="I11" t="str">
        <f t="shared" si="2"/>
        <v>Eligible</v>
      </c>
      <c r="J11" t="str">
        <f t="shared" si="3"/>
        <v>Average Performer</v>
      </c>
      <c r="K11" s="7">
        <f t="shared" si="4"/>
        <v>72.8</v>
      </c>
      <c r="L11" t="str">
        <f t="shared" si="5"/>
        <v>Below Average</v>
      </c>
      <c r="M11" t="str">
        <f t="shared" si="6"/>
        <v>Good</v>
      </c>
      <c r="N11" t="str">
        <f t="shared" si="7"/>
        <v/>
      </c>
      <c r="O11" t="str">
        <f t="shared" si="8"/>
        <v>Safe</v>
      </c>
      <c r="P11" s="6"/>
    </row>
    <row r="12" spans="1:16" x14ac:dyDescent="0.3">
      <c r="A12" s="2">
        <v>11</v>
      </c>
      <c r="B12" s="2" t="s">
        <v>5</v>
      </c>
      <c r="C12" s="2" t="s">
        <v>16</v>
      </c>
      <c r="D12" s="2">
        <v>69</v>
      </c>
      <c r="E12" s="2">
        <v>78</v>
      </c>
      <c r="F12" s="2" t="s">
        <v>20</v>
      </c>
      <c r="G12" s="7" t="str">
        <f t="shared" si="0"/>
        <v>Pass</v>
      </c>
      <c r="H12" t="str">
        <f t="shared" si="1"/>
        <v>C</v>
      </c>
      <c r="I12" t="str">
        <f t="shared" si="2"/>
        <v>Eligible</v>
      </c>
      <c r="J12" t="str">
        <f t="shared" si="3"/>
        <v>Average Performer</v>
      </c>
      <c r="K12" s="7">
        <f t="shared" si="4"/>
        <v>72.8</v>
      </c>
      <c r="L12" t="str">
        <f t="shared" si="5"/>
        <v>Below Average</v>
      </c>
      <c r="M12" t="str">
        <f t="shared" si="6"/>
        <v>Good</v>
      </c>
      <c r="N12" t="str">
        <f t="shared" si="7"/>
        <v/>
      </c>
      <c r="O12" t="str">
        <f t="shared" si="8"/>
        <v>Safe</v>
      </c>
      <c r="P12" s="6"/>
    </row>
    <row r="13" spans="1:16" ht="28.8" x14ac:dyDescent="0.3">
      <c r="A13" s="2">
        <v>12</v>
      </c>
      <c r="B13" s="2" t="s">
        <v>26</v>
      </c>
      <c r="C13" s="2" t="s">
        <v>14</v>
      </c>
      <c r="D13" s="2">
        <v>72</v>
      </c>
      <c r="E13" s="2">
        <v>85</v>
      </c>
      <c r="F13" s="2" t="s">
        <v>15</v>
      </c>
      <c r="G13" s="7" t="str">
        <f t="shared" si="0"/>
        <v>Pass</v>
      </c>
      <c r="H13" t="str">
        <f t="shared" si="1"/>
        <v>C</v>
      </c>
      <c r="I13" t="str">
        <f t="shared" si="2"/>
        <v>Eligible</v>
      </c>
      <c r="J13" t="str">
        <f t="shared" si="3"/>
        <v>Average Performer</v>
      </c>
      <c r="K13" s="7">
        <f t="shared" si="4"/>
        <v>72.8</v>
      </c>
      <c r="L13" t="str">
        <f t="shared" si="5"/>
        <v>Below Average</v>
      </c>
      <c r="M13" t="str">
        <f t="shared" si="6"/>
        <v>Good</v>
      </c>
      <c r="N13" t="str">
        <f t="shared" si="7"/>
        <v/>
      </c>
      <c r="O13" t="str">
        <f t="shared" si="8"/>
        <v>Safe</v>
      </c>
      <c r="P13" s="6"/>
    </row>
    <row r="14" spans="1:16" x14ac:dyDescent="0.3">
      <c r="A14" s="2">
        <v>13</v>
      </c>
      <c r="B14" s="2" t="s">
        <v>27</v>
      </c>
      <c r="C14" s="2" t="s">
        <v>19</v>
      </c>
      <c r="D14" s="2">
        <v>91</v>
      </c>
      <c r="E14" s="2">
        <v>94</v>
      </c>
      <c r="F14" s="2" t="s">
        <v>17</v>
      </c>
      <c r="G14" s="7" t="str">
        <f t="shared" si="0"/>
        <v>Pass</v>
      </c>
      <c r="H14" t="str">
        <f t="shared" si="1"/>
        <v>A</v>
      </c>
      <c r="I14" t="str">
        <f t="shared" si="2"/>
        <v>Eligible</v>
      </c>
      <c r="J14" t="str">
        <f t="shared" si="3"/>
        <v>Top Perfomer</v>
      </c>
      <c r="K14" s="7">
        <f t="shared" si="4"/>
        <v>72.8</v>
      </c>
      <c r="L14" t="str">
        <f t="shared" si="5"/>
        <v>Above Average</v>
      </c>
      <c r="M14" t="str">
        <f t="shared" si="6"/>
        <v>Exellent</v>
      </c>
      <c r="N14" t="str">
        <f t="shared" si="7"/>
        <v/>
      </c>
      <c r="O14" t="str">
        <f t="shared" si="8"/>
        <v>Safe</v>
      </c>
      <c r="P14" s="10"/>
    </row>
    <row r="15" spans="1:16" ht="28.8" x14ac:dyDescent="0.3">
      <c r="A15" s="2">
        <v>14</v>
      </c>
      <c r="B15" s="2" t="s">
        <v>28</v>
      </c>
      <c r="C15" s="2" t="s">
        <v>22</v>
      </c>
      <c r="D15" s="2">
        <v>87</v>
      </c>
      <c r="E15" s="2">
        <v>90</v>
      </c>
      <c r="F15" s="2" t="s">
        <v>23</v>
      </c>
      <c r="G15" s="7" t="str">
        <f t="shared" si="0"/>
        <v>Pass</v>
      </c>
      <c r="H15" t="str">
        <f t="shared" si="1"/>
        <v>B</v>
      </c>
      <c r="I15" t="str">
        <f t="shared" si="2"/>
        <v>Eligible</v>
      </c>
      <c r="J15" t="str">
        <f t="shared" si="3"/>
        <v>Top Perfomer</v>
      </c>
      <c r="K15" s="7">
        <f t="shared" si="4"/>
        <v>72.8</v>
      </c>
      <c r="L15" t="str">
        <f t="shared" si="5"/>
        <v>Above Average</v>
      </c>
      <c r="M15" t="str">
        <f t="shared" si="6"/>
        <v>Exellent</v>
      </c>
      <c r="N15" t="str">
        <f t="shared" si="7"/>
        <v/>
      </c>
      <c r="O15" t="str">
        <f t="shared" si="8"/>
        <v>Safe</v>
      </c>
      <c r="P15" s="6"/>
    </row>
    <row r="16" spans="1:16" ht="28.8" x14ac:dyDescent="0.3">
      <c r="A16" s="2">
        <v>15</v>
      </c>
      <c r="B16" s="2" t="s">
        <v>29</v>
      </c>
      <c r="C16" s="2" t="s">
        <v>14</v>
      </c>
      <c r="D16" s="2">
        <v>58</v>
      </c>
      <c r="E16" s="2">
        <v>75</v>
      </c>
      <c r="F16" s="2" t="s">
        <v>15</v>
      </c>
      <c r="G16" s="7" t="str">
        <f t="shared" si="0"/>
        <v>Pass</v>
      </c>
      <c r="H16" t="str">
        <f t="shared" si="1"/>
        <v>D</v>
      </c>
      <c r="I16" t="str">
        <f t="shared" si="2"/>
        <v>Eligible</v>
      </c>
      <c r="J16" t="str">
        <f t="shared" si="3"/>
        <v>Needs Improvement</v>
      </c>
      <c r="K16" s="7">
        <f t="shared" si="4"/>
        <v>72.8</v>
      </c>
      <c r="L16" t="str">
        <f t="shared" si="5"/>
        <v>Below Average</v>
      </c>
      <c r="M16" t="str">
        <f t="shared" si="6"/>
        <v>Good</v>
      </c>
      <c r="N16" t="str">
        <f t="shared" si="7"/>
        <v/>
      </c>
      <c r="O16" t="str">
        <f t="shared" si="8"/>
        <v>At risk</v>
      </c>
      <c r="P16" s="6"/>
    </row>
    <row r="17" spans="1:16" x14ac:dyDescent="0.3">
      <c r="A17" s="2">
        <v>16</v>
      </c>
      <c r="B17" s="2" t="s">
        <v>30</v>
      </c>
      <c r="C17" s="2" t="s">
        <v>16</v>
      </c>
      <c r="D17" s="2">
        <v>74</v>
      </c>
      <c r="E17" s="2">
        <v>82</v>
      </c>
      <c r="F17" s="2" t="s">
        <v>17</v>
      </c>
      <c r="G17" s="7" t="str">
        <f t="shared" si="0"/>
        <v>Pass</v>
      </c>
      <c r="H17" t="str">
        <f t="shared" si="1"/>
        <v>C</v>
      </c>
      <c r="I17" t="str">
        <f t="shared" si="2"/>
        <v>Eligible</v>
      </c>
      <c r="J17" t="str">
        <f t="shared" si="3"/>
        <v>Average Performer</v>
      </c>
      <c r="K17" s="7">
        <f t="shared" si="4"/>
        <v>72.8</v>
      </c>
      <c r="L17" t="str">
        <f t="shared" si="5"/>
        <v>Above Average</v>
      </c>
      <c r="M17" t="str">
        <f t="shared" si="6"/>
        <v>Good</v>
      </c>
      <c r="N17" t="str">
        <f t="shared" si="7"/>
        <v/>
      </c>
      <c r="O17" t="str">
        <f t="shared" si="8"/>
        <v>Safe</v>
      </c>
      <c r="P17" s="6"/>
    </row>
    <row r="18" spans="1:16" x14ac:dyDescent="0.3">
      <c r="A18" s="2">
        <v>17</v>
      </c>
      <c r="B18" s="2" t="s">
        <v>31</v>
      </c>
      <c r="C18" s="2" t="s">
        <v>19</v>
      </c>
      <c r="D18" s="2">
        <v>81</v>
      </c>
      <c r="E18" s="2">
        <v>88</v>
      </c>
      <c r="F18" s="2" t="s">
        <v>20</v>
      </c>
      <c r="G18" s="7" t="str">
        <f t="shared" si="0"/>
        <v>Pass</v>
      </c>
      <c r="H18" t="str">
        <f t="shared" si="1"/>
        <v>B</v>
      </c>
      <c r="I18" t="str">
        <f t="shared" si="2"/>
        <v>Eligible</v>
      </c>
      <c r="J18" t="str">
        <f t="shared" si="3"/>
        <v>Average Performer</v>
      </c>
      <c r="K18" s="7">
        <f t="shared" si="4"/>
        <v>72.8</v>
      </c>
      <c r="L18" t="str">
        <f t="shared" si="5"/>
        <v>Above Average</v>
      </c>
      <c r="M18" t="str">
        <f t="shared" si="6"/>
        <v>Good</v>
      </c>
      <c r="N18" t="str">
        <f t="shared" si="7"/>
        <v/>
      </c>
      <c r="O18" t="str">
        <f t="shared" si="8"/>
        <v>Safe</v>
      </c>
      <c r="P18" s="6"/>
    </row>
    <row r="19" spans="1:16" ht="28.8" x14ac:dyDescent="0.3">
      <c r="A19" s="2">
        <v>18</v>
      </c>
      <c r="B19" s="2" t="s">
        <v>32</v>
      </c>
      <c r="C19" s="2" t="s">
        <v>22</v>
      </c>
      <c r="D19" s="2">
        <v>90</v>
      </c>
      <c r="E19" s="2">
        <v>92</v>
      </c>
      <c r="F19" s="2" t="s">
        <v>23</v>
      </c>
      <c r="G19" s="7" t="str">
        <f t="shared" si="0"/>
        <v>Pass</v>
      </c>
      <c r="H19" t="str">
        <f t="shared" si="1"/>
        <v>A</v>
      </c>
      <c r="I19" t="str">
        <f t="shared" si="2"/>
        <v>Eligible</v>
      </c>
      <c r="J19" t="str">
        <f t="shared" si="3"/>
        <v>Top Perfomer</v>
      </c>
      <c r="K19" s="7">
        <f t="shared" si="4"/>
        <v>72.8</v>
      </c>
      <c r="L19" t="str">
        <f t="shared" si="5"/>
        <v>Above Average</v>
      </c>
      <c r="M19" t="str">
        <f t="shared" si="6"/>
        <v>Exellent</v>
      </c>
      <c r="N19" t="str">
        <f t="shared" si="7"/>
        <v/>
      </c>
      <c r="O19" t="str">
        <f t="shared" si="8"/>
        <v>Safe</v>
      </c>
      <c r="P19" s="6"/>
    </row>
    <row r="20" spans="1:16" ht="28.8" x14ac:dyDescent="0.3">
      <c r="A20" s="2">
        <v>19</v>
      </c>
      <c r="B20" s="2" t="s">
        <v>33</v>
      </c>
      <c r="C20" s="2" t="s">
        <v>14</v>
      </c>
      <c r="D20" s="2">
        <v>66</v>
      </c>
      <c r="E20" s="2">
        <v>80</v>
      </c>
      <c r="F20" s="2" t="s">
        <v>15</v>
      </c>
      <c r="G20" s="7" t="str">
        <f>IF(D20&gt;=40, "Pass","Fail")</f>
        <v>Pass</v>
      </c>
      <c r="H20" t="str">
        <f t="shared" si="1"/>
        <v>C</v>
      </c>
      <c r="I20" t="str">
        <f t="shared" si="2"/>
        <v>Eligible</v>
      </c>
      <c r="J20" t="str">
        <f t="shared" si="3"/>
        <v>Average Performer</v>
      </c>
      <c r="K20" s="7">
        <f t="shared" si="4"/>
        <v>72.8</v>
      </c>
      <c r="L20" t="str">
        <f t="shared" si="5"/>
        <v>Below Average</v>
      </c>
      <c r="M20" t="str">
        <f t="shared" si="6"/>
        <v>Good</v>
      </c>
      <c r="N20" t="str">
        <f t="shared" si="7"/>
        <v/>
      </c>
      <c r="O20" t="str">
        <f t="shared" si="8"/>
        <v>Safe</v>
      </c>
      <c r="P20" s="6"/>
    </row>
    <row r="21" spans="1:16" x14ac:dyDescent="0.3">
      <c r="A21" s="2">
        <v>20</v>
      </c>
      <c r="B21" s="2" t="s">
        <v>34</v>
      </c>
      <c r="C21" s="2" t="s">
        <v>16</v>
      </c>
      <c r="D21" s="2">
        <v>95</v>
      </c>
      <c r="E21" s="2">
        <v>96</v>
      </c>
      <c r="F21" s="2" t="s">
        <v>17</v>
      </c>
      <c r="G21" s="7" t="str">
        <f t="shared" si="0"/>
        <v>Pass</v>
      </c>
      <c r="H21" t="str">
        <f t="shared" si="1"/>
        <v>A</v>
      </c>
      <c r="I21" t="str">
        <f t="shared" si="2"/>
        <v>Eligible</v>
      </c>
      <c r="J21" t="str">
        <f>IF(D21&gt;=85,"Top Perfomer", IF(D21&gt;=60, "Average Performer", "Needs Improvement"))</f>
        <v>Top Perfomer</v>
      </c>
      <c r="K21" s="7">
        <f t="shared" si="4"/>
        <v>72.8</v>
      </c>
      <c r="L21" t="str">
        <f t="shared" si="5"/>
        <v>Above Average</v>
      </c>
      <c r="M21" t="str">
        <f t="shared" si="6"/>
        <v>Exellent</v>
      </c>
      <c r="N21" t="str">
        <f t="shared" si="7"/>
        <v/>
      </c>
      <c r="O21" t="str">
        <f t="shared" si="8"/>
        <v>Safe</v>
      </c>
      <c r="P21" s="10"/>
    </row>
    <row r="22" spans="1:16" x14ac:dyDescent="0.3">
      <c r="P22" s="6"/>
    </row>
    <row r="23" spans="1:16" x14ac:dyDescent="0.3">
      <c r="P23" s="6"/>
    </row>
    <row r="24" spans="1:16" x14ac:dyDescent="0.3">
      <c r="P24" s="6"/>
    </row>
    <row r="25" spans="1:16" x14ac:dyDescent="0.3">
      <c r="P25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85C1-95A4-46A6-8C72-090CB2A58838}">
  <dimension ref="A1:A119"/>
  <sheetViews>
    <sheetView showGridLines="0" topLeftCell="A88" workbookViewId="0">
      <selection activeCell="T103" sqref="T103"/>
    </sheetView>
  </sheetViews>
  <sheetFormatPr defaultRowHeight="14.4" x14ac:dyDescent="0.3"/>
  <sheetData>
    <row r="1" spans="1:1" ht="31.2" x14ac:dyDescent="0.3">
      <c r="A1" s="11" t="s">
        <v>46</v>
      </c>
    </row>
    <row r="3" spans="1:1" ht="23.4" x14ac:dyDescent="0.3">
      <c r="A3" s="12" t="s">
        <v>47</v>
      </c>
    </row>
    <row r="5" spans="1:1" x14ac:dyDescent="0.3">
      <c r="A5" t="s">
        <v>48</v>
      </c>
    </row>
    <row r="6" spans="1:1" x14ac:dyDescent="0.3">
      <c r="A6" t="s">
        <v>49</v>
      </c>
    </row>
    <row r="10" spans="1:1" ht="23.4" x14ac:dyDescent="0.3">
      <c r="A10" s="12" t="s">
        <v>50</v>
      </c>
    </row>
    <row r="12" spans="1:1" x14ac:dyDescent="0.3">
      <c r="A12" t="s">
        <v>51</v>
      </c>
    </row>
    <row r="13" spans="1:1" x14ac:dyDescent="0.3">
      <c r="A13" s="13"/>
    </row>
    <row r="14" spans="1:1" x14ac:dyDescent="0.3">
      <c r="A14" s="13" t="s">
        <v>52</v>
      </c>
    </row>
    <row r="15" spans="1:1" x14ac:dyDescent="0.3">
      <c r="A15" s="13"/>
    </row>
    <row r="16" spans="1:1" x14ac:dyDescent="0.3">
      <c r="A16" s="13" t="s">
        <v>13</v>
      </c>
    </row>
    <row r="17" spans="1:1" x14ac:dyDescent="0.3">
      <c r="A17" s="13"/>
    </row>
    <row r="18" spans="1:1" x14ac:dyDescent="0.3">
      <c r="A18" s="13" t="s">
        <v>11</v>
      </c>
    </row>
    <row r="19" spans="1:1" x14ac:dyDescent="0.3">
      <c r="A19" s="13"/>
    </row>
    <row r="20" spans="1:1" x14ac:dyDescent="0.3">
      <c r="A20" s="13" t="s">
        <v>6</v>
      </c>
    </row>
    <row r="21" spans="1:1" x14ac:dyDescent="0.3">
      <c r="A21" s="13"/>
    </row>
    <row r="22" spans="1:1" x14ac:dyDescent="0.3">
      <c r="A22" s="13" t="s">
        <v>53</v>
      </c>
    </row>
    <row r="23" spans="1:1" x14ac:dyDescent="0.3">
      <c r="A23" s="13"/>
    </row>
    <row r="24" spans="1:1" x14ac:dyDescent="0.3">
      <c r="A24" s="13" t="s">
        <v>54</v>
      </c>
    </row>
    <row r="25" spans="1:1" x14ac:dyDescent="0.3">
      <c r="A25" s="13"/>
    </row>
    <row r="26" spans="1:1" x14ac:dyDescent="0.3">
      <c r="A26" s="13" t="s">
        <v>55</v>
      </c>
    </row>
    <row r="27" spans="1:1" x14ac:dyDescent="0.3">
      <c r="A27" s="13"/>
    </row>
    <row r="28" spans="1:1" x14ac:dyDescent="0.3">
      <c r="A28" s="13" t="s">
        <v>56</v>
      </c>
    </row>
    <row r="29" spans="1:1" x14ac:dyDescent="0.3">
      <c r="A29" s="13"/>
    </row>
    <row r="30" spans="1:1" x14ac:dyDescent="0.3">
      <c r="A30" s="13" t="s">
        <v>57</v>
      </c>
    </row>
    <row r="34" spans="1:1" ht="23.4" x14ac:dyDescent="0.3">
      <c r="A34" s="12" t="s">
        <v>58</v>
      </c>
    </row>
    <row r="35" spans="1:1" x14ac:dyDescent="0.3">
      <c r="A35" s="13"/>
    </row>
    <row r="36" spans="1:1" x14ac:dyDescent="0.3">
      <c r="A36" s="13" t="s">
        <v>59</v>
      </c>
    </row>
    <row r="37" spans="1:1" x14ac:dyDescent="0.3">
      <c r="A37" s="13"/>
    </row>
    <row r="38" spans="1:1" x14ac:dyDescent="0.3">
      <c r="A38" s="13" t="s">
        <v>60</v>
      </c>
    </row>
    <row r="39" spans="1:1" x14ac:dyDescent="0.3">
      <c r="A39" s="13"/>
    </row>
    <row r="40" spans="1:1" x14ac:dyDescent="0.3">
      <c r="A40" s="13" t="s">
        <v>61</v>
      </c>
    </row>
    <row r="41" spans="1:1" x14ac:dyDescent="0.3">
      <c r="A41" s="13"/>
    </row>
    <row r="42" spans="1:1" x14ac:dyDescent="0.3">
      <c r="A42" s="13" t="s">
        <v>62</v>
      </c>
    </row>
    <row r="46" spans="1:1" ht="23.4" x14ac:dyDescent="0.3">
      <c r="A46" s="12" t="s">
        <v>63</v>
      </c>
    </row>
    <row r="48" spans="1:1" ht="18" x14ac:dyDescent="0.3">
      <c r="A48" s="14" t="s">
        <v>64</v>
      </c>
    </row>
    <row r="49" spans="1:1" x14ac:dyDescent="0.3">
      <c r="A49" s="13"/>
    </row>
    <row r="50" spans="1:1" x14ac:dyDescent="0.3">
      <c r="A50" s="13" t="s">
        <v>65</v>
      </c>
    </row>
    <row r="51" spans="1:1" x14ac:dyDescent="0.3">
      <c r="A51" s="13"/>
    </row>
    <row r="52" spans="1:1" x14ac:dyDescent="0.3">
      <c r="A52" s="13" t="s">
        <v>66</v>
      </c>
    </row>
    <row r="53" spans="1:1" x14ac:dyDescent="0.3">
      <c r="A53" s="13"/>
    </row>
    <row r="54" spans="1:1" x14ac:dyDescent="0.3">
      <c r="A54" s="13" t="s">
        <v>67</v>
      </c>
    </row>
    <row r="55" spans="1:1" x14ac:dyDescent="0.3">
      <c r="A55" s="13"/>
    </row>
    <row r="56" spans="1:1" x14ac:dyDescent="0.3">
      <c r="A56" s="13" t="s">
        <v>68</v>
      </c>
    </row>
    <row r="58" spans="1:1" ht="18" x14ac:dyDescent="0.3">
      <c r="A58" s="14" t="s">
        <v>69</v>
      </c>
    </row>
    <row r="59" spans="1:1" x14ac:dyDescent="0.3">
      <c r="A59" s="13"/>
    </row>
    <row r="60" spans="1:1" x14ac:dyDescent="0.3">
      <c r="A60" s="13" t="s">
        <v>70</v>
      </c>
    </row>
    <row r="61" spans="1:1" x14ac:dyDescent="0.3">
      <c r="A61" s="13"/>
    </row>
    <row r="62" spans="1:1" x14ac:dyDescent="0.3">
      <c r="A62" s="13" t="s">
        <v>71</v>
      </c>
    </row>
    <row r="63" spans="1:1" x14ac:dyDescent="0.3">
      <c r="A63" s="13"/>
    </row>
    <row r="64" spans="1:1" x14ac:dyDescent="0.3">
      <c r="A64" s="13" t="s">
        <v>72</v>
      </c>
    </row>
    <row r="65" spans="1:1" x14ac:dyDescent="0.3">
      <c r="A65" s="13"/>
    </row>
    <row r="66" spans="1:1" x14ac:dyDescent="0.3">
      <c r="A66" s="13" t="s">
        <v>73</v>
      </c>
    </row>
    <row r="67" spans="1:1" x14ac:dyDescent="0.3">
      <c r="A67" s="13"/>
    </row>
    <row r="68" spans="1:1" x14ac:dyDescent="0.3">
      <c r="A68" s="13" t="s">
        <v>74</v>
      </c>
    </row>
    <row r="70" spans="1:1" ht="18" x14ac:dyDescent="0.3">
      <c r="A70" s="14" t="s">
        <v>75</v>
      </c>
    </row>
    <row r="71" spans="1:1" x14ac:dyDescent="0.3">
      <c r="A71" s="13"/>
    </row>
    <row r="72" spans="1:1" x14ac:dyDescent="0.3">
      <c r="A72" s="13" t="s">
        <v>76</v>
      </c>
    </row>
    <row r="73" spans="1:1" x14ac:dyDescent="0.3">
      <c r="A73" s="13"/>
    </row>
    <row r="74" spans="1:1" x14ac:dyDescent="0.3">
      <c r="A74" s="13" t="s">
        <v>60</v>
      </c>
    </row>
    <row r="75" spans="1:1" x14ac:dyDescent="0.3">
      <c r="A75" s="13"/>
    </row>
    <row r="76" spans="1:1" x14ac:dyDescent="0.3">
      <c r="A76" s="13" t="s">
        <v>77</v>
      </c>
    </row>
    <row r="77" spans="1:1" x14ac:dyDescent="0.3">
      <c r="A77" s="13"/>
    </row>
    <row r="78" spans="1:1" x14ac:dyDescent="0.3">
      <c r="A78" s="13" t="s">
        <v>78</v>
      </c>
    </row>
    <row r="79" spans="1:1" x14ac:dyDescent="0.3">
      <c r="A79" s="13"/>
    </row>
    <row r="80" spans="1:1" x14ac:dyDescent="0.3">
      <c r="A80" s="13" t="s">
        <v>79</v>
      </c>
    </row>
    <row r="84" spans="1:1" ht="23.4" x14ac:dyDescent="0.3">
      <c r="A84" s="12" t="s">
        <v>80</v>
      </c>
    </row>
    <row r="85" spans="1:1" x14ac:dyDescent="0.3">
      <c r="A85" s="13"/>
    </row>
    <row r="86" spans="1:1" x14ac:dyDescent="0.3">
      <c r="A86" s="13" t="s">
        <v>81</v>
      </c>
    </row>
    <row r="87" spans="1:1" x14ac:dyDescent="0.3">
      <c r="A87" s="13"/>
    </row>
    <row r="88" spans="1:1" x14ac:dyDescent="0.3">
      <c r="A88" s="13" t="s">
        <v>82</v>
      </c>
    </row>
    <row r="89" spans="1:1" x14ac:dyDescent="0.3">
      <c r="A89" s="13"/>
    </row>
    <row r="90" spans="1:1" x14ac:dyDescent="0.3">
      <c r="A90" s="13" t="s">
        <v>83</v>
      </c>
    </row>
    <row r="91" spans="1:1" x14ac:dyDescent="0.3">
      <c r="A91" s="13"/>
    </row>
    <row r="92" spans="1:1" x14ac:dyDescent="0.3">
      <c r="A92" s="13" t="s">
        <v>84</v>
      </c>
    </row>
    <row r="93" spans="1:1" x14ac:dyDescent="0.3">
      <c r="A93" s="13"/>
    </row>
    <row r="94" spans="1:1" x14ac:dyDescent="0.3">
      <c r="A94" s="13" t="s">
        <v>85</v>
      </c>
    </row>
    <row r="98" spans="1:1" ht="23.4" x14ac:dyDescent="0.3">
      <c r="A98" s="12" t="s">
        <v>86</v>
      </c>
    </row>
    <row r="99" spans="1:1" x14ac:dyDescent="0.3">
      <c r="A99" s="13"/>
    </row>
    <row r="100" spans="1:1" x14ac:dyDescent="0.3">
      <c r="A100" s="13" t="s">
        <v>87</v>
      </c>
    </row>
    <row r="101" spans="1:1" x14ac:dyDescent="0.3">
      <c r="A101" s="13"/>
    </row>
    <row r="102" spans="1:1" x14ac:dyDescent="0.3">
      <c r="A102" s="13" t="s">
        <v>88</v>
      </c>
    </row>
    <row r="103" spans="1:1" x14ac:dyDescent="0.3">
      <c r="A103" s="13"/>
    </row>
    <row r="104" spans="1:1" x14ac:dyDescent="0.3">
      <c r="A104" s="13" t="s">
        <v>89</v>
      </c>
    </row>
    <row r="105" spans="1:1" x14ac:dyDescent="0.3">
      <c r="A105" s="13"/>
    </row>
    <row r="106" spans="1:1" x14ac:dyDescent="0.3">
      <c r="A106" s="13" t="s">
        <v>90</v>
      </c>
    </row>
    <row r="110" spans="1:1" ht="23.4" x14ac:dyDescent="0.3">
      <c r="A110" s="12" t="s">
        <v>91</v>
      </c>
    </row>
    <row r="112" spans="1:1" x14ac:dyDescent="0.3">
      <c r="A112" t="s">
        <v>92</v>
      </c>
    </row>
    <row r="116" spans="1:1" ht="23.4" x14ac:dyDescent="0.3">
      <c r="A116" s="12" t="s">
        <v>93</v>
      </c>
    </row>
    <row r="118" spans="1:1" x14ac:dyDescent="0.3">
      <c r="A118" t="s">
        <v>1</v>
      </c>
    </row>
    <row r="119" spans="1:1" x14ac:dyDescent="0.3">
      <c r="A119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1AB-EEAD-4773-A9B5-654BF12953BB}">
  <dimension ref="A1:F21"/>
  <sheetViews>
    <sheetView workbookViewId="0">
      <selection activeCell="I9" sqref="I9"/>
    </sheetView>
  </sheetViews>
  <sheetFormatPr defaultRowHeight="14.4" x14ac:dyDescent="0.3"/>
  <sheetData>
    <row r="1" spans="1:6" ht="28.8" x14ac:dyDescent="0.3">
      <c r="A1" s="1" t="s">
        <v>10</v>
      </c>
      <c r="B1" s="1" t="s">
        <v>0</v>
      </c>
      <c r="C1" s="1" t="s">
        <v>11</v>
      </c>
      <c r="D1" s="1" t="s">
        <v>6</v>
      </c>
      <c r="E1" s="1" t="s">
        <v>12</v>
      </c>
      <c r="F1" s="1" t="s">
        <v>13</v>
      </c>
    </row>
    <row r="2" spans="1:6" ht="28.8" x14ac:dyDescent="0.3">
      <c r="A2" s="2">
        <v>1</v>
      </c>
      <c r="B2" s="2" t="s">
        <v>1</v>
      </c>
      <c r="C2" s="2" t="s">
        <v>14</v>
      </c>
      <c r="D2" s="2">
        <v>89</v>
      </c>
      <c r="E2" s="2">
        <v>92</v>
      </c>
      <c r="F2" s="2" t="s">
        <v>15</v>
      </c>
    </row>
    <row r="3" spans="1:6" x14ac:dyDescent="0.3">
      <c r="A3" s="2">
        <v>2</v>
      </c>
      <c r="B3" s="2" t="s">
        <v>9</v>
      </c>
      <c r="C3" s="2" t="s">
        <v>16</v>
      </c>
      <c r="D3" s="2">
        <v>78</v>
      </c>
      <c r="E3" s="2">
        <v>85</v>
      </c>
      <c r="F3" s="2" t="s">
        <v>17</v>
      </c>
    </row>
    <row r="4" spans="1:6" x14ac:dyDescent="0.3">
      <c r="A4" s="2">
        <v>3</v>
      </c>
      <c r="B4" s="2" t="s">
        <v>18</v>
      </c>
      <c r="C4" s="2" t="s">
        <v>19</v>
      </c>
      <c r="D4" s="2">
        <v>65</v>
      </c>
      <c r="E4" s="2">
        <v>80</v>
      </c>
      <c r="F4" s="2" t="s">
        <v>20</v>
      </c>
    </row>
    <row r="5" spans="1:6" ht="28.8" x14ac:dyDescent="0.3">
      <c r="A5" s="2">
        <v>4</v>
      </c>
      <c r="B5" s="2" t="s">
        <v>21</v>
      </c>
      <c r="C5" s="2" t="s">
        <v>22</v>
      </c>
      <c r="D5" s="2">
        <v>83</v>
      </c>
      <c r="E5" s="2">
        <v>88</v>
      </c>
      <c r="F5" s="2" t="s">
        <v>23</v>
      </c>
    </row>
    <row r="6" spans="1:6" ht="28.8" x14ac:dyDescent="0.3">
      <c r="A6" s="2">
        <v>5</v>
      </c>
      <c r="B6" s="2" t="s">
        <v>24</v>
      </c>
      <c r="C6" s="2" t="s">
        <v>14</v>
      </c>
      <c r="D6" s="2">
        <v>96</v>
      </c>
      <c r="E6" s="2">
        <v>95</v>
      </c>
      <c r="F6" s="2" t="s">
        <v>15</v>
      </c>
    </row>
    <row r="7" spans="1:6" x14ac:dyDescent="0.3">
      <c r="A7" s="2">
        <v>6</v>
      </c>
      <c r="B7" s="2" t="s">
        <v>25</v>
      </c>
      <c r="C7" s="2" t="s">
        <v>16</v>
      </c>
      <c r="D7" s="2">
        <v>88</v>
      </c>
      <c r="E7" s="2">
        <v>90</v>
      </c>
      <c r="F7" s="2" t="s">
        <v>17</v>
      </c>
    </row>
    <row r="8" spans="1:6" x14ac:dyDescent="0.3">
      <c r="A8" s="2">
        <v>7</v>
      </c>
      <c r="B8" s="2" t="s">
        <v>2</v>
      </c>
      <c r="C8" s="2" t="s">
        <v>19</v>
      </c>
      <c r="D8" s="2">
        <v>34</v>
      </c>
      <c r="E8" s="2">
        <v>60</v>
      </c>
      <c r="F8" s="2" t="s">
        <v>20</v>
      </c>
    </row>
    <row r="9" spans="1:6" ht="28.8" x14ac:dyDescent="0.3">
      <c r="A9" s="2">
        <v>8</v>
      </c>
      <c r="B9" s="2" t="s">
        <v>3</v>
      </c>
      <c r="C9" s="2" t="s">
        <v>22</v>
      </c>
      <c r="D9" s="2">
        <v>36</v>
      </c>
      <c r="E9" s="2">
        <v>65</v>
      </c>
      <c r="F9" s="2" t="s">
        <v>23</v>
      </c>
    </row>
    <row r="10" spans="1:6" ht="28.8" x14ac:dyDescent="0.3">
      <c r="A10" s="2">
        <v>9</v>
      </c>
      <c r="B10" s="2" t="s">
        <v>4</v>
      </c>
      <c r="C10" s="2" t="s">
        <v>14</v>
      </c>
      <c r="D10" s="2">
        <v>39</v>
      </c>
      <c r="E10" s="2">
        <v>70</v>
      </c>
      <c r="F10" s="2" t="s">
        <v>15</v>
      </c>
    </row>
    <row r="11" spans="1:6" x14ac:dyDescent="0.3">
      <c r="A11" s="2">
        <v>10</v>
      </c>
      <c r="B11" s="2" t="s">
        <v>8</v>
      </c>
      <c r="C11" s="2" t="s">
        <v>19</v>
      </c>
      <c r="D11" s="2">
        <v>65</v>
      </c>
      <c r="E11" s="2">
        <v>82</v>
      </c>
      <c r="F11" s="2" t="s">
        <v>17</v>
      </c>
    </row>
    <row r="12" spans="1:6" x14ac:dyDescent="0.3">
      <c r="A12" s="2">
        <v>11</v>
      </c>
      <c r="B12" s="2" t="s">
        <v>5</v>
      </c>
      <c r="C12" s="2" t="s">
        <v>16</v>
      </c>
      <c r="D12" s="2">
        <v>69</v>
      </c>
      <c r="E12" s="2">
        <v>78</v>
      </c>
      <c r="F12" s="2" t="s">
        <v>20</v>
      </c>
    </row>
    <row r="13" spans="1:6" ht="28.8" x14ac:dyDescent="0.3">
      <c r="A13" s="2">
        <v>12</v>
      </c>
      <c r="B13" s="2" t="s">
        <v>26</v>
      </c>
      <c r="C13" s="2" t="s">
        <v>14</v>
      </c>
      <c r="D13" s="2">
        <v>72</v>
      </c>
      <c r="E13" s="2">
        <v>85</v>
      </c>
      <c r="F13" s="2" t="s">
        <v>15</v>
      </c>
    </row>
    <row r="14" spans="1:6" x14ac:dyDescent="0.3">
      <c r="A14" s="2">
        <v>13</v>
      </c>
      <c r="B14" s="2" t="s">
        <v>27</v>
      </c>
      <c r="C14" s="2" t="s">
        <v>19</v>
      </c>
      <c r="D14" s="2">
        <v>91</v>
      </c>
      <c r="E14" s="2">
        <v>94</v>
      </c>
      <c r="F14" s="2" t="s">
        <v>17</v>
      </c>
    </row>
    <row r="15" spans="1:6" ht="28.8" x14ac:dyDescent="0.3">
      <c r="A15" s="2">
        <v>14</v>
      </c>
      <c r="B15" s="2" t="s">
        <v>28</v>
      </c>
      <c r="C15" s="2" t="s">
        <v>22</v>
      </c>
      <c r="D15" s="2">
        <v>87</v>
      </c>
      <c r="E15" s="2">
        <v>90</v>
      </c>
      <c r="F15" s="2" t="s">
        <v>23</v>
      </c>
    </row>
    <row r="16" spans="1:6" ht="28.8" x14ac:dyDescent="0.3">
      <c r="A16" s="2">
        <v>15</v>
      </c>
      <c r="B16" s="2" t="s">
        <v>29</v>
      </c>
      <c r="C16" s="2" t="s">
        <v>14</v>
      </c>
      <c r="D16" s="2">
        <v>58</v>
      </c>
      <c r="E16" s="2">
        <v>75</v>
      </c>
      <c r="F16" s="2" t="s">
        <v>15</v>
      </c>
    </row>
    <row r="17" spans="1:6" x14ac:dyDescent="0.3">
      <c r="A17" s="2">
        <v>16</v>
      </c>
      <c r="B17" s="2" t="s">
        <v>30</v>
      </c>
      <c r="C17" s="2" t="s">
        <v>16</v>
      </c>
      <c r="D17" s="2">
        <v>74</v>
      </c>
      <c r="E17" s="2">
        <v>82</v>
      </c>
      <c r="F17" s="2" t="s">
        <v>17</v>
      </c>
    </row>
    <row r="18" spans="1:6" x14ac:dyDescent="0.3">
      <c r="A18" s="2">
        <v>17</v>
      </c>
      <c r="B18" s="2" t="s">
        <v>31</v>
      </c>
      <c r="C18" s="2" t="s">
        <v>19</v>
      </c>
      <c r="D18" s="2">
        <v>81</v>
      </c>
      <c r="E18" s="2">
        <v>88</v>
      </c>
      <c r="F18" s="2" t="s">
        <v>20</v>
      </c>
    </row>
    <row r="19" spans="1:6" ht="28.8" x14ac:dyDescent="0.3">
      <c r="A19" s="2">
        <v>18</v>
      </c>
      <c r="B19" s="2" t="s">
        <v>32</v>
      </c>
      <c r="C19" s="2" t="s">
        <v>22</v>
      </c>
      <c r="D19" s="2">
        <v>90</v>
      </c>
      <c r="E19" s="2">
        <v>92</v>
      </c>
      <c r="F19" s="2" t="s">
        <v>23</v>
      </c>
    </row>
    <row r="20" spans="1:6" ht="28.8" x14ac:dyDescent="0.3">
      <c r="A20" s="2">
        <v>19</v>
      </c>
      <c r="B20" s="2" t="s">
        <v>33</v>
      </c>
      <c r="C20" s="2" t="s">
        <v>14</v>
      </c>
      <c r="D20" s="2">
        <v>66</v>
      </c>
      <c r="E20" s="2">
        <v>80</v>
      </c>
      <c r="F20" s="2" t="s">
        <v>15</v>
      </c>
    </row>
    <row r="21" spans="1:6" x14ac:dyDescent="0.3">
      <c r="A21" s="2">
        <v>20</v>
      </c>
      <c r="B21" s="2" t="s">
        <v>34</v>
      </c>
      <c r="C21" s="2" t="s">
        <v>16</v>
      </c>
      <c r="D21" s="2">
        <v>95</v>
      </c>
      <c r="E21" s="2">
        <v>96</v>
      </c>
      <c r="F2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Sheet22</vt:lpstr>
      <vt:lpstr> Data</vt:lpstr>
      <vt:lpstr> Project_Overview</vt:lpstr>
      <vt:lpstr> 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madgula suresh</dc:creator>
  <cp:lastModifiedBy>madgula suresh</cp:lastModifiedBy>
  <dcterms:created xsi:type="dcterms:W3CDTF">2026-01-04T13:26:04Z</dcterms:created>
  <dcterms:modified xsi:type="dcterms:W3CDTF">2026-01-12T18:34:11Z</dcterms:modified>
</cp:coreProperties>
</file>